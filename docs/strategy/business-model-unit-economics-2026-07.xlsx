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Scenarios" sheetId="2" state="visible" r:id="rId2"/>
    <sheet name="Ramp (Base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;(#,##0);&quot;-&quot;"/>
    <numFmt numFmtId="165" formatCode="$#,##0;($#,##0);&quot;-&quot;"/>
    <numFmt numFmtId="166" formatCode="0.0%"/>
    <numFmt numFmtId="167" formatCode="$#,##0.00;($#,##0.00);&quot;-&quot;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</font>
    <font>
      <name val="Arial"/>
      <b val="1"/>
      <color rgb="00FFFFFF"/>
    </font>
    <font>
      <name val="Arial"/>
      <color rgb="00000000"/>
    </font>
    <font>
      <name val="Arial"/>
      <color rgb="000000FF"/>
    </font>
    <font>
      <name val="Arial"/>
      <i val="1"/>
      <sz val="9"/>
    </font>
    <font>
      <name val="Arial"/>
      <color rgb="00008000"/>
    </font>
    <font>
      <name val="Arial"/>
      <color rgb="00808080"/>
      <sz val="8"/>
    </font>
  </fonts>
  <fills count="5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1F3B57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pivotButton="0" quotePrefix="0" xfId="0"/>
    <xf numFmtId="0" fontId="0" fillId="3" borderId="0" pivotButton="0" quotePrefix="0" xfId="0"/>
    <xf numFmtId="0" fontId="4" fillId="0" borderId="0" pivotButton="0" quotePrefix="0" xfId="0"/>
    <xf numFmtId="164" fontId="5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166" fontId="5" fillId="4" borderId="0" pivotButton="0" quotePrefix="0" xfId="0"/>
    <xf numFmtId="167" fontId="5" fillId="4" borderId="0" pivotButton="0" quotePrefix="0" xfId="0"/>
    <xf numFmtId="166" fontId="5" fillId="0" borderId="0" pivotButton="0" quotePrefix="0" xfId="0"/>
    <xf numFmtId="167" fontId="5" fillId="0" borderId="0" pivotButton="0" quotePrefix="0" xfId="0"/>
    <xf numFmtId="0" fontId="2" fillId="0" borderId="0" pivotButton="0" quotePrefix="0" xfId="0"/>
    <xf numFmtId="165" fontId="7" fillId="0" borderId="0" pivotButton="0" quotePrefix="0" xfId="0"/>
    <xf numFmtId="165" fontId="2" fillId="2" borderId="0" pivotButton="0" quotePrefix="0" xfId="0"/>
    <xf numFmtId="165" fontId="0" fillId="0" borderId="0" pivotButton="0" quotePrefix="0" xfId="0"/>
    <xf numFmtId="0" fontId="2" fillId="2" borderId="0" applyAlignment="1" pivotButton="0" quotePrefix="0" xfId="0">
      <alignment horizont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  <col width="14" customWidth="1" min="4" max="4"/>
    <col width="62" customWidth="1" min="5" max="5"/>
  </cols>
  <sheetData>
    <row r="1">
      <c r="A1" s="1" t="inlineStr">
        <is>
          <t>Resonate — Unit Economics Model (2026-07). Edit BLUE cells.</t>
        </is>
      </c>
    </row>
    <row r="3">
      <c r="A3" s="2" t="inlineStr">
        <is>
          <t>Assumption</t>
        </is>
      </c>
      <c r="B3" s="2" t="inlineStr">
        <is>
          <t>Conservative</t>
        </is>
      </c>
      <c r="C3" s="2" t="inlineStr">
        <is>
          <t>Base</t>
        </is>
      </c>
      <c r="D3" s="2" t="inlineStr">
        <is>
          <t>Ambitious</t>
        </is>
      </c>
      <c r="E3" s="2" t="inlineStr">
        <is>
          <t>Unit / Source</t>
        </is>
      </c>
    </row>
    <row r="4">
      <c r="A4" s="3" t="inlineStr">
        <is>
          <t>1. Shows campaign fee (Phase 1)</t>
        </is>
      </c>
      <c r="B4" s="4" t="n"/>
      <c r="C4" s="4" t="n"/>
      <c r="D4" s="4" t="n"/>
      <c r="E4" s="4" t="n"/>
    </row>
    <row r="5">
      <c r="A5" s="5" t="inlineStr">
        <is>
          <t>Funded campaigns / month</t>
        </is>
      </c>
      <c r="B5" s="6" t="n">
        <v>1</v>
      </c>
      <c r="C5" s="6" t="n">
        <v>2</v>
      </c>
      <c r="D5" s="6" t="n">
        <v>5</v>
      </c>
      <c r="E5" s="7" t="inlineStr">
        <is>
          <t>Wedge: international niche scenes (docs/rfc/business-model.md)</t>
        </is>
      </c>
    </row>
    <row r="6">
      <c r="A6" s="5" t="inlineStr">
        <is>
          <t>Avg funded campaign size (USD)</t>
        </is>
      </c>
      <c r="B6" s="8" t="n">
        <v>3000</v>
      </c>
      <c r="C6" s="8" t="n">
        <v>6000</v>
      </c>
      <c r="D6" s="8" t="n">
        <v>12000</v>
      </c>
      <c r="E6" s="7" t="inlineStr">
        <is>
          <t>Assumption; small venue budget range</t>
        </is>
      </c>
    </row>
    <row r="7">
      <c r="A7" s="5" t="inlineStr">
        <is>
          <t>Platform fee (success-only)</t>
        </is>
      </c>
      <c r="B7" s="9" t="n">
        <v>0.06</v>
      </c>
      <c r="C7" s="9" t="n">
        <v>0.06</v>
      </c>
      <c r="D7" s="9" t="n">
        <v>0.06</v>
      </c>
      <c r="E7" s="7" t="inlineStr">
        <is>
          <t>ADR-BM-1 proposed 6%; comp: Kickstarter 5% + processing</t>
        </is>
      </c>
    </row>
    <row r="9">
      <c r="A9" s="3" t="inlineStr">
        <is>
          <t>2. Artist Pro — creator SaaS (Phase 2)</t>
        </is>
      </c>
      <c r="B9" s="4" t="n"/>
      <c r="C9" s="4" t="n"/>
      <c r="D9" s="4" t="n"/>
      <c r="E9" s="4" t="n"/>
    </row>
    <row r="10">
      <c r="A10" s="5" t="inlineStr">
        <is>
          <t>Paying artists (subscribers)</t>
        </is>
      </c>
      <c r="B10" s="6" t="n">
        <v>25</v>
      </c>
      <c r="C10" s="6" t="n">
        <v>75</v>
      </c>
      <c r="D10" s="6" t="n">
        <v>250</v>
      </c>
      <c r="E10" s="7" t="inlineStr">
        <is>
          <t>Phase-2 target: 50 paying artists (review §4)</t>
        </is>
      </c>
    </row>
    <row r="11">
      <c r="A11" s="5" t="inlineStr">
        <is>
          <t>Price / month (USD)</t>
        </is>
      </c>
      <c r="B11" s="10" t="n">
        <v>19.99</v>
      </c>
      <c r="C11" s="10" t="n">
        <v>19.99</v>
      </c>
      <c r="D11" s="10" t="n">
        <v>19.99</v>
      </c>
      <c r="E11" s="7" t="inlineStr">
        <is>
          <t>Comp: BeatStars $19.99/mo, Splice $9.99+/mo, DistroKid $24.99/yr</t>
        </is>
      </c>
    </row>
    <row r="12">
      <c r="A12" s="5" t="inlineStr">
        <is>
          <t>% of artists buying extra generation credits</t>
        </is>
      </c>
      <c r="B12" s="11" t="n">
        <v>0.3</v>
      </c>
      <c r="C12" s="11" t="n">
        <v>0.3</v>
      </c>
      <c r="D12" s="11" t="n">
        <v>0.3</v>
      </c>
      <c r="E12" s="7" t="inlineStr">
        <is>
          <t>Assumption</t>
        </is>
      </c>
    </row>
    <row r="13">
      <c r="A13" s="5" t="inlineStr">
        <is>
          <t>Avg overage credit spend / buying artist / mo (USD)</t>
        </is>
      </c>
      <c r="B13" s="12" t="n">
        <v>5</v>
      </c>
      <c r="C13" s="12" t="n">
        <v>10</v>
      </c>
      <c r="D13" s="12" t="n">
        <v>20</v>
      </c>
      <c r="E13" s="7" t="inlineStr">
        <is>
          <t>ADR-BM-3; credit price ~$0.10/30s vs cost $0.06/30s (generation.service.ts)</t>
        </is>
      </c>
    </row>
    <row r="14">
      <c r="A14" s="5" t="inlineStr">
        <is>
          <t>Platform gross margin on credits</t>
        </is>
      </c>
      <c r="B14" s="9" t="n">
        <v>0.35</v>
      </c>
      <c r="C14" s="9" t="n">
        <v>0.35</v>
      </c>
      <c r="D14" s="9" t="n">
        <v>0.35</v>
      </c>
      <c r="E14" s="7" t="inlineStr">
        <is>
          <t>ADR-BM-3 proposed 30–50% margin over GPU cost</t>
        </is>
      </c>
    </row>
    <row r="16">
      <c r="A16" s="3" t="inlineStr">
        <is>
          <t>3. Marketplace take-rate (Phase 2)</t>
        </is>
      </c>
      <c r="B16" s="4" t="n"/>
      <c r="C16" s="4" t="n"/>
      <c r="D16" s="4" t="n"/>
      <c r="E16" s="4" t="n"/>
    </row>
    <row r="17">
      <c r="A17" s="5" t="inlineStr">
        <is>
          <t>Marketplace GMV / month (USD)</t>
        </is>
      </c>
      <c r="B17" s="8" t="n">
        <v>1000</v>
      </c>
      <c r="C17" s="8" t="n">
        <v>7500</v>
      </c>
      <c r="D17" s="8" t="n">
        <v>30000</v>
      </c>
      <c r="E17" s="7" t="inlineStr">
        <is>
          <t>Stems, downloads, remix licenses, punchline drops</t>
        </is>
      </c>
    </row>
    <row r="18">
      <c r="A18" s="5" t="inlineStr">
        <is>
          <t>Platform take-rate</t>
        </is>
      </c>
      <c r="B18" s="9" t="n">
        <v>0.1</v>
      </c>
      <c r="C18" s="9" t="n">
        <v>0.1</v>
      </c>
      <c r="D18" s="9" t="n">
        <v>0.1</v>
      </c>
      <c r="E18" s="7" t="inlineStr">
        <is>
          <t>ADR-BM-2 proposed 10% (15% micro); comp: Bandcamp 10–15%; current contract default 0.5%</t>
        </is>
      </c>
    </row>
    <row r="20">
      <c r="A20" s="3" t="inlineStr">
        <is>
          <t>4. Listener Pro (Phase 3)</t>
        </is>
      </c>
      <c r="B20" s="4" t="n"/>
      <c r="C20" s="4" t="n"/>
      <c r="D20" s="4" t="n"/>
      <c r="E20" s="4" t="n"/>
    </row>
    <row r="21">
      <c r="A21" s="5" t="inlineStr">
        <is>
          <t>Subscribers</t>
        </is>
      </c>
      <c r="B21" s="6" t="n">
        <v>0</v>
      </c>
      <c r="C21" s="6" t="n">
        <v>250</v>
      </c>
      <c r="D21" s="6" t="n">
        <v>1500</v>
      </c>
      <c r="E21" s="7" t="inlineStr">
        <is>
          <t>Launch gate: 500–1,000 genuine WAU in wedge communities</t>
        </is>
      </c>
    </row>
    <row r="22">
      <c r="A22" s="5" t="inlineStr">
        <is>
          <t>Price / month (USD)</t>
        </is>
      </c>
      <c r="B22" s="12" t="n">
        <v>9.99</v>
      </c>
      <c r="C22" s="12" t="n">
        <v>9.99</v>
      </c>
      <c r="D22" s="12" t="n">
        <v>9.99</v>
      </c>
      <c r="E22" s="7" t="inlineStr">
        <is>
          <t>docs/rfc/business-model.md Layer 2</t>
        </is>
      </c>
    </row>
    <row r="23">
      <c r="A23" s="5" t="inlineStr">
        <is>
          <t>Wallet pre-fund portion (USD)</t>
        </is>
      </c>
      <c r="B23" s="12" t="n">
        <v>5</v>
      </c>
      <c r="C23" s="12" t="n">
        <v>5</v>
      </c>
      <c r="D23" s="12" t="n">
        <v>5</v>
      </c>
      <c r="E23" s="7" t="inlineStr">
        <is>
          <t>RFC: ~$5 of subscription pre-funds agent wallet (USDC)</t>
        </is>
      </c>
    </row>
    <row r="24">
      <c r="A24" s="5" t="inlineStr">
        <is>
          <t>Share of pre-fund actually spent / month</t>
        </is>
      </c>
      <c r="B24" s="11" t="n">
        <v>0.8</v>
      </c>
      <c r="C24" s="11" t="n">
        <v>0.8</v>
      </c>
      <c r="D24" s="11" t="n">
        <v>0.8</v>
      </c>
      <c r="E24" s="7" t="inlineStr">
        <is>
          <t>Assumption; unspent rolls over</t>
        </is>
      </c>
    </row>
    <row r="25">
      <c r="A25" s="5" t="inlineStr">
        <is>
          <t>Platform take on micro-spend</t>
        </is>
      </c>
      <c r="B25" s="9" t="n">
        <v>0.15</v>
      </c>
      <c r="C25" s="9" t="n">
        <v>0.15</v>
      </c>
      <c r="D25" s="9" t="n">
        <v>0.15</v>
      </c>
      <c r="E25" s="7" t="inlineStr">
        <is>
          <t>RFC 85/15 micro-payment split</t>
        </is>
      </c>
    </row>
    <row r="27">
      <c r="A27" s="3" t="inlineStr">
        <is>
          <t>5. B2B &amp; agent licensing (Phase 4)</t>
        </is>
      </c>
      <c r="B27" s="4" t="n"/>
      <c r="C27" s="4" t="n"/>
      <c r="D27" s="4" t="n"/>
      <c r="E27" s="4" t="n"/>
    </row>
    <row r="28">
      <c r="A28" s="5" t="inlineStr">
        <is>
          <t>Licenses closed / month</t>
        </is>
      </c>
      <c r="B28" s="6" t="n">
        <v>0</v>
      </c>
      <c r="C28" s="6" t="n">
        <v>0.5</v>
      </c>
      <c r="D28" s="6" t="n">
        <v>2</v>
      </c>
      <c r="E28" s="7" t="inlineStr">
        <is>
          <t>Sync/commercial/agent deals; long sales cycle</t>
        </is>
      </c>
    </row>
    <row r="29">
      <c r="A29" s="5" t="inlineStr">
        <is>
          <t>Avg license value (USD)</t>
        </is>
      </c>
      <c r="B29" s="8" t="n">
        <v>1000</v>
      </c>
      <c r="C29" s="8" t="n">
        <v>2500</v>
      </c>
      <c r="D29" s="8" t="n">
        <v>5000</v>
      </c>
      <c r="E29" s="7" t="inlineStr">
        <is>
          <t>RFC commercial $50–5,000+, sync $500–50,000 (negotiated)</t>
        </is>
      </c>
    </row>
    <row r="30">
      <c r="A30" s="5" t="inlineStr">
        <is>
          <t>Platform take</t>
        </is>
      </c>
      <c r="B30" s="11" t="n">
        <v>0.1</v>
      </c>
      <c r="C30" s="11" t="n">
        <v>0.1</v>
      </c>
      <c r="D30" s="11" t="n">
        <v>0.1</v>
      </c>
      <c r="E30" s="7" t="inlineStr">
        <is>
          <t>ADR-BM-2 / RFC 10%</t>
        </is>
      </c>
    </row>
    <row r="32">
      <c r="A32" s="3" t="inlineStr">
        <is>
          <t>Reference costs</t>
        </is>
      </c>
      <c r="B32" s="4" t="n"/>
      <c r="C32" s="4" t="n"/>
      <c r="D32" s="4" t="n"/>
      <c r="E32" s="4" t="n"/>
    </row>
    <row r="33">
      <c r="A33" s="5" t="inlineStr">
        <is>
          <t>AI generation cost per 30s (USD)</t>
        </is>
      </c>
      <c r="B33" s="12" t="n">
        <v>0.06</v>
      </c>
      <c r="C33" s="12" t="n">
        <v>0.06</v>
      </c>
      <c r="D33" s="12" t="n">
        <v>0.06</v>
      </c>
      <c r="E33" s="7" t="inlineStr">
        <is>
          <t>Source: backend/src/modules/generation/generation.service.ts COST_PER_30_SECONDS</t>
        </is>
      </c>
    </row>
    <row r="34">
      <c r="A34" s="5" t="inlineStr">
        <is>
          <t>Proposed credit price per 30s (USD)</t>
        </is>
      </c>
      <c r="B34" s="12" t="n">
        <v>0.1</v>
      </c>
      <c r="C34" s="12" t="n">
        <v>0.1</v>
      </c>
      <c r="D34" s="12" t="n">
        <v>0.1</v>
      </c>
      <c r="E34" s="7" t="inlineStr">
        <is>
          <t>ADR-BM-3</t>
        </is>
      </c>
    </row>
    <row r="36">
      <c r="A36" s="3" t="inlineStr">
        <is>
          <t>Ramp parameters (Base scenario → Ramp sheet; month 1 = Jul 2026)</t>
        </is>
      </c>
      <c r="B36" s="4" t="n"/>
      <c r="C36" s="4" t="n"/>
      <c r="D36" s="4" t="n"/>
      <c r="E36" s="4" t="n"/>
    </row>
    <row r="37">
      <c r="A37" s="13" t="inlineStr">
        <is>
          <t>Revenue line</t>
        </is>
      </c>
      <c r="B37" s="13" t="inlineStr">
        <is>
          <t>Start month #</t>
        </is>
      </c>
      <c r="C37" s="13" t="inlineStr">
        <is>
          <t>Ramp months</t>
        </is>
      </c>
    </row>
    <row r="38">
      <c r="A38" s="5" t="inlineStr">
        <is>
          <t>Shows campaign fee</t>
        </is>
      </c>
      <c r="B38" s="6" t="n">
        <v>3</v>
      </c>
      <c r="C38" s="6" t="n">
        <v>4</v>
      </c>
    </row>
    <row r="39">
      <c r="A39" s="5" t="inlineStr">
        <is>
          <t>Artist Pro (incl. credits)</t>
        </is>
      </c>
      <c r="B39" s="6" t="n">
        <v>5</v>
      </c>
      <c r="C39" s="6" t="n">
        <v>4</v>
      </c>
    </row>
    <row r="40">
      <c r="A40" s="5" t="inlineStr">
        <is>
          <t>Marketplace take</t>
        </is>
      </c>
      <c r="B40" s="6" t="n">
        <v>5</v>
      </c>
      <c r="C40" s="6" t="n">
        <v>6</v>
      </c>
    </row>
    <row r="41">
      <c r="A41" s="5" t="inlineStr">
        <is>
          <t>Listener Pro</t>
        </is>
      </c>
      <c r="B41" s="6" t="n">
        <v>9</v>
      </c>
      <c r="C41" s="6" t="n">
        <v>6</v>
      </c>
    </row>
    <row r="42">
      <c r="A42" s="5" t="inlineStr">
        <is>
          <t>B2B &amp; agent licensing</t>
        </is>
      </c>
      <c r="B42" s="6" t="n">
        <v>13</v>
      </c>
      <c r="C42" s="6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  <col width="15" customWidth="1" min="4" max="4"/>
    <col width="66" customWidth="1" min="5" max="5"/>
  </cols>
  <sheetData>
    <row r="1">
      <c r="A1" s="1" t="inlineStr">
        <is>
          <t>Monthly platform revenue by scenario (steady state, all lines active)</t>
        </is>
      </c>
    </row>
    <row r="3">
      <c r="A3" s="2" t="inlineStr">
        <is>
          <t>Revenue line</t>
        </is>
      </c>
      <c r="B3" s="2" t="inlineStr">
        <is>
          <t>Conservative</t>
        </is>
      </c>
      <c r="C3" s="2" t="inlineStr">
        <is>
          <t>Base</t>
        </is>
      </c>
      <c r="D3" s="2" t="inlineStr">
        <is>
          <t>Ambitious</t>
        </is>
      </c>
      <c r="E3" s="2" t="inlineStr">
        <is>
          <t>Formula</t>
        </is>
      </c>
    </row>
    <row r="4">
      <c r="A4" s="5" t="inlineStr">
        <is>
          <t>Shows campaign fee</t>
        </is>
      </c>
      <c r="B4" s="14">
        <f>Assumptions!B5*Assumptions!B6*Assumptions!B7</f>
        <v/>
      </c>
      <c r="C4" s="14">
        <f>Assumptions!C5*Assumptions!C6*Assumptions!C7</f>
        <v/>
      </c>
      <c r="D4" s="14">
        <f>Assumptions!D5*Assumptions!D6*Assumptions!D7</f>
        <v/>
      </c>
      <c r="E4" s="7" t="inlineStr">
        <is>
          <t>campaigns × size × 6% fee</t>
        </is>
      </c>
    </row>
    <row r="5">
      <c r="A5" s="5" t="inlineStr">
        <is>
          <t>Artist Pro subscriptions</t>
        </is>
      </c>
      <c r="B5" s="14">
        <f>Assumptions!B10*Assumptions!B11</f>
        <v/>
      </c>
      <c r="C5" s="14">
        <f>Assumptions!C10*Assumptions!C11</f>
        <v/>
      </c>
      <c r="D5" s="14">
        <f>Assumptions!D10*Assumptions!D11</f>
        <v/>
      </c>
      <c r="E5" s="7" t="inlineStr">
        <is>
          <t>artists × $19.99</t>
        </is>
      </c>
    </row>
    <row r="6">
      <c r="A6" s="5" t="inlineStr">
        <is>
          <t>Generation credits (gross profit)</t>
        </is>
      </c>
      <c r="B6" s="14">
        <f>Assumptions!B10*Assumptions!B12*Assumptions!B13*Assumptions!B14</f>
        <v/>
      </c>
      <c r="C6" s="14">
        <f>Assumptions!C10*Assumptions!C12*Assumptions!C13*Assumptions!C14</f>
        <v/>
      </c>
      <c r="D6" s="14">
        <f>Assumptions!D10*Assumptions!D12*Assumptions!D13*Assumptions!D14</f>
        <v/>
      </c>
      <c r="E6" s="7" t="inlineStr">
        <is>
          <t>artists × buyer% × spend × margin</t>
        </is>
      </c>
    </row>
    <row r="7">
      <c r="A7" s="5" t="inlineStr">
        <is>
          <t>Marketplace take</t>
        </is>
      </c>
      <c r="B7" s="14">
        <f>Assumptions!B17*Assumptions!B18</f>
        <v/>
      </c>
      <c r="C7" s="14">
        <f>Assumptions!C17*Assumptions!C18</f>
        <v/>
      </c>
      <c r="D7" s="14">
        <f>Assumptions!D17*Assumptions!D18</f>
        <v/>
      </c>
      <c r="E7" s="7" t="inlineStr">
        <is>
          <t>GMV × 10%</t>
        </is>
      </c>
    </row>
    <row r="8">
      <c r="A8" s="5" t="inlineStr">
        <is>
          <t>Listener Pro (subs + micro-take)</t>
        </is>
      </c>
      <c r="B8" s="14">
        <f>Assumptions!B21*(Assumptions!B22-Assumptions!B23)+Assumptions!B21*Assumptions!B23*Assumptions!B24*Assumptions!B25</f>
        <v/>
      </c>
      <c r="C8" s="14">
        <f>Assumptions!C21*(Assumptions!C22-Assumptions!C23)+Assumptions!C21*Assumptions!C23*Assumptions!C24*Assumptions!C25</f>
        <v/>
      </c>
      <c r="D8" s="14">
        <f>Assumptions!D21*(Assumptions!D22-Assumptions!D23)+Assumptions!D21*Assumptions!D23*Assumptions!D24*Assumptions!D25</f>
        <v/>
      </c>
      <c r="E8" s="7" t="inlineStr">
        <is>
          <t>subs × ($9.99 − $5 pre-fund) + micro-spend × 15%</t>
        </is>
      </c>
    </row>
    <row r="9">
      <c r="A9" s="5" t="inlineStr">
        <is>
          <t>B2B &amp; agent licensing</t>
        </is>
      </c>
      <c r="B9" s="14">
        <f>Assumptions!B28*Assumptions!B29*Assumptions!B30</f>
        <v/>
      </c>
      <c r="C9" s="14">
        <f>Assumptions!C28*Assumptions!C29*Assumptions!C30</f>
        <v/>
      </c>
      <c r="D9" s="14">
        <f>Assumptions!D28*Assumptions!D29*Assumptions!D30</f>
        <v/>
      </c>
      <c r="E9" s="7" t="inlineStr">
        <is>
          <t>deals × value × 10%</t>
        </is>
      </c>
    </row>
    <row r="10">
      <c r="A10" s="13" t="inlineStr">
        <is>
          <t>Total platform MRR</t>
        </is>
      </c>
      <c r="B10" s="15">
        <f>SUM(B4:B9)</f>
        <v/>
      </c>
      <c r="C10" s="15">
        <f>SUM(C4:C9)</f>
        <v/>
      </c>
      <c r="D10" s="15">
        <f>SUM(D4:D9)</f>
        <v/>
      </c>
    </row>
    <row r="11">
      <c r="A11" s="5" t="inlineStr">
        <is>
          <t>Implied ARR</t>
        </is>
      </c>
      <c r="B11" s="16">
        <f>B10*12</f>
        <v/>
      </c>
      <c r="C11" s="16">
        <f>C10*12</f>
        <v/>
      </c>
      <c r="D11" s="16">
        <f>D10*12</f>
        <v/>
      </c>
    </row>
    <row r="13">
      <c r="A13" s="13" t="inlineStr">
        <is>
          <t>Monthly $ routed to artists (est.)</t>
        </is>
      </c>
      <c r="B13" s="16">
        <f>Assumptions!B5*Assumptions!B6*(1-Assumptions!B7)+Assumptions!B17*(1-Assumptions!B18)+Assumptions!B21*Assumptions!B23*Assumptions!B24*(1-Assumptions!B25)+Assumptions!B28*Assumptions!B29*(1-Assumptions!B30)</f>
        <v/>
      </c>
      <c r="C13" s="16">
        <f>Assumptions!C5*Assumptions!C6*(1-Assumptions!C7)+Assumptions!C17*(1-Assumptions!C18)+Assumptions!C21*Assumptions!C23*Assumptions!C24*(1-Assumptions!C25)+Assumptions!C28*Assumptions!C29*(1-Assumptions!C30)</f>
        <v/>
      </c>
      <c r="D13" s="16">
        <f>Assumptions!D5*Assumptions!D6*(1-Assumptions!D7)+Assumptions!D17*(1-Assumptions!D18)+Assumptions!D21*Assumptions!D23*Assumptions!D24*(1-Assumptions!D25)+Assumptions!D28*Assumptions!D29*(1-Assumptions!D30)</f>
        <v/>
      </c>
      <c r="E13" s="7" t="inlineStr">
        <is>
          <t>North-star input: median take-home per active artist = this ÷ active artists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</cols>
  <sheetData>
    <row r="1">
      <c r="A1" s="1" t="inlineStr">
        <is>
          <t>18-month activation ramp — Base scenario, phases per roadmap (review §4)</t>
        </is>
      </c>
    </row>
    <row r="2">
      <c r="B2" s="17" t="inlineStr">
        <is>
          <t>Jul-26</t>
        </is>
      </c>
      <c r="C2" s="17" t="inlineStr">
        <is>
          <t>Aug-26</t>
        </is>
      </c>
      <c r="D2" s="17" t="inlineStr">
        <is>
          <t>Sep-26</t>
        </is>
      </c>
      <c r="E2" s="17" t="inlineStr">
        <is>
          <t>Oct-26</t>
        </is>
      </c>
      <c r="F2" s="17" t="inlineStr">
        <is>
          <t>Nov-26</t>
        </is>
      </c>
      <c r="G2" s="17" t="inlineStr">
        <is>
          <t>Dec-26</t>
        </is>
      </c>
      <c r="H2" s="17" t="inlineStr">
        <is>
          <t>Jan-27</t>
        </is>
      </c>
      <c r="I2" s="17" t="inlineStr">
        <is>
          <t>Feb-27</t>
        </is>
      </c>
      <c r="J2" s="17" t="inlineStr">
        <is>
          <t>Mar-27</t>
        </is>
      </c>
      <c r="K2" s="17" t="inlineStr">
        <is>
          <t>Apr-27</t>
        </is>
      </c>
      <c r="L2" s="17" t="inlineStr">
        <is>
          <t>May-27</t>
        </is>
      </c>
      <c r="M2" s="17" t="inlineStr">
        <is>
          <t>Jun-27</t>
        </is>
      </c>
      <c r="N2" s="17" t="inlineStr">
        <is>
          <t>Jul-27</t>
        </is>
      </c>
      <c r="O2" s="17" t="inlineStr">
        <is>
          <t>Aug-27</t>
        </is>
      </c>
      <c r="P2" s="17" t="inlineStr">
        <is>
          <t>Sep-27</t>
        </is>
      </c>
      <c r="Q2" s="17" t="inlineStr">
        <is>
          <t>Oct-27</t>
        </is>
      </c>
      <c r="R2" s="17" t="inlineStr">
        <is>
          <t>Nov-27</t>
        </is>
      </c>
      <c r="S2" s="17" t="inlineStr">
        <is>
          <t>Dec-27</t>
        </is>
      </c>
    </row>
    <row r="3">
      <c r="A3" s="18" t="inlineStr">
        <is>
          <t>month #</t>
        </is>
      </c>
      <c r="B3" s="18" t="n">
        <v>1</v>
      </c>
      <c r="C3" s="18" t="n">
        <v>2</v>
      </c>
      <c r="D3" s="18" t="n">
        <v>3</v>
      </c>
      <c r="E3" s="18" t="n">
        <v>4</v>
      </c>
      <c r="F3" s="18" t="n">
        <v>5</v>
      </c>
      <c r="G3" s="18" t="n">
        <v>6</v>
      </c>
      <c r="H3" s="18" t="n">
        <v>7</v>
      </c>
      <c r="I3" s="18" t="n">
        <v>8</v>
      </c>
      <c r="J3" s="18" t="n">
        <v>9</v>
      </c>
      <c r="K3" s="18" t="n">
        <v>10</v>
      </c>
      <c r="L3" s="18" t="n">
        <v>11</v>
      </c>
      <c r="M3" s="18" t="n">
        <v>12</v>
      </c>
      <c r="N3" s="18" t="n">
        <v>13</v>
      </c>
      <c r="O3" s="18" t="n">
        <v>14</v>
      </c>
      <c r="P3" s="18" t="n">
        <v>15</v>
      </c>
      <c r="Q3" s="18" t="n">
        <v>16</v>
      </c>
      <c r="R3" s="18" t="n">
        <v>17</v>
      </c>
      <c r="S3" s="18" t="n">
        <v>18</v>
      </c>
    </row>
    <row r="4">
      <c r="A4" s="5" t="inlineStr">
        <is>
          <t>Shows campaign fee</t>
        </is>
      </c>
      <c r="B4" s="16">
        <f>IF(B$3&gt;=Assumptions!$B$38,Scenarios!$C$4*MIN(1,(B$3-Assumptions!$B$38+1)/Assumptions!$C$38),0)</f>
        <v/>
      </c>
      <c r="C4" s="16">
        <f>IF(C$3&gt;=Assumptions!$B$38,Scenarios!$C$4*MIN(1,(C$3-Assumptions!$B$38+1)/Assumptions!$C$38),0)</f>
        <v/>
      </c>
      <c r="D4" s="16">
        <f>IF(D$3&gt;=Assumptions!$B$38,Scenarios!$C$4*MIN(1,(D$3-Assumptions!$B$38+1)/Assumptions!$C$38),0)</f>
        <v/>
      </c>
      <c r="E4" s="16">
        <f>IF(E$3&gt;=Assumptions!$B$38,Scenarios!$C$4*MIN(1,(E$3-Assumptions!$B$38+1)/Assumptions!$C$38),0)</f>
        <v/>
      </c>
      <c r="F4" s="16">
        <f>IF(F$3&gt;=Assumptions!$B$38,Scenarios!$C$4*MIN(1,(F$3-Assumptions!$B$38+1)/Assumptions!$C$38),0)</f>
        <v/>
      </c>
      <c r="G4" s="16">
        <f>IF(G$3&gt;=Assumptions!$B$38,Scenarios!$C$4*MIN(1,(G$3-Assumptions!$B$38+1)/Assumptions!$C$38),0)</f>
        <v/>
      </c>
      <c r="H4" s="16">
        <f>IF(H$3&gt;=Assumptions!$B$38,Scenarios!$C$4*MIN(1,(H$3-Assumptions!$B$38+1)/Assumptions!$C$38),0)</f>
        <v/>
      </c>
      <c r="I4" s="16">
        <f>IF(I$3&gt;=Assumptions!$B$38,Scenarios!$C$4*MIN(1,(I$3-Assumptions!$B$38+1)/Assumptions!$C$38),0)</f>
        <v/>
      </c>
      <c r="J4" s="16">
        <f>IF(J$3&gt;=Assumptions!$B$38,Scenarios!$C$4*MIN(1,(J$3-Assumptions!$B$38+1)/Assumptions!$C$38),0)</f>
        <v/>
      </c>
      <c r="K4" s="16">
        <f>IF(K$3&gt;=Assumptions!$B$38,Scenarios!$C$4*MIN(1,(K$3-Assumptions!$B$38+1)/Assumptions!$C$38),0)</f>
        <v/>
      </c>
      <c r="L4" s="16">
        <f>IF(L$3&gt;=Assumptions!$B$38,Scenarios!$C$4*MIN(1,(L$3-Assumptions!$B$38+1)/Assumptions!$C$38),0)</f>
        <v/>
      </c>
      <c r="M4" s="16">
        <f>IF(M$3&gt;=Assumptions!$B$38,Scenarios!$C$4*MIN(1,(M$3-Assumptions!$B$38+1)/Assumptions!$C$38),0)</f>
        <v/>
      </c>
      <c r="N4" s="16">
        <f>IF(N$3&gt;=Assumptions!$B$38,Scenarios!$C$4*MIN(1,(N$3-Assumptions!$B$38+1)/Assumptions!$C$38),0)</f>
        <v/>
      </c>
      <c r="O4" s="16">
        <f>IF(O$3&gt;=Assumptions!$B$38,Scenarios!$C$4*MIN(1,(O$3-Assumptions!$B$38+1)/Assumptions!$C$38),0)</f>
        <v/>
      </c>
      <c r="P4" s="16">
        <f>IF(P$3&gt;=Assumptions!$B$38,Scenarios!$C$4*MIN(1,(P$3-Assumptions!$B$38+1)/Assumptions!$C$38),0)</f>
        <v/>
      </c>
      <c r="Q4" s="16">
        <f>IF(Q$3&gt;=Assumptions!$B$38,Scenarios!$C$4*MIN(1,(Q$3-Assumptions!$B$38+1)/Assumptions!$C$38),0)</f>
        <v/>
      </c>
      <c r="R4" s="16">
        <f>IF(R$3&gt;=Assumptions!$B$38,Scenarios!$C$4*MIN(1,(R$3-Assumptions!$B$38+1)/Assumptions!$C$38),0)</f>
        <v/>
      </c>
      <c r="S4" s="16">
        <f>IF(S$3&gt;=Assumptions!$B$38,Scenarios!$C$4*MIN(1,(S$3-Assumptions!$B$38+1)/Assumptions!$C$38),0)</f>
        <v/>
      </c>
    </row>
    <row r="5">
      <c r="A5" s="5" t="inlineStr">
        <is>
          <t>Artist Pro (subs + credits)</t>
        </is>
      </c>
      <c r="B5" s="16">
        <f>IF(B$3&gt;=Assumptions!$B$39,(Scenarios!$C$5+Scenarios!$C$6)*MIN(1,(B$3-Assumptions!$B$39+1)/Assumptions!$C$39),0)</f>
        <v/>
      </c>
      <c r="C5" s="16">
        <f>IF(C$3&gt;=Assumptions!$B$39,(Scenarios!$C$5+Scenarios!$C$6)*MIN(1,(C$3-Assumptions!$B$39+1)/Assumptions!$C$39),0)</f>
        <v/>
      </c>
      <c r="D5" s="16">
        <f>IF(D$3&gt;=Assumptions!$B$39,(Scenarios!$C$5+Scenarios!$C$6)*MIN(1,(D$3-Assumptions!$B$39+1)/Assumptions!$C$39),0)</f>
        <v/>
      </c>
      <c r="E5" s="16">
        <f>IF(E$3&gt;=Assumptions!$B$39,(Scenarios!$C$5+Scenarios!$C$6)*MIN(1,(E$3-Assumptions!$B$39+1)/Assumptions!$C$39),0)</f>
        <v/>
      </c>
      <c r="F5" s="16">
        <f>IF(F$3&gt;=Assumptions!$B$39,(Scenarios!$C$5+Scenarios!$C$6)*MIN(1,(F$3-Assumptions!$B$39+1)/Assumptions!$C$39),0)</f>
        <v/>
      </c>
      <c r="G5" s="16">
        <f>IF(G$3&gt;=Assumptions!$B$39,(Scenarios!$C$5+Scenarios!$C$6)*MIN(1,(G$3-Assumptions!$B$39+1)/Assumptions!$C$39),0)</f>
        <v/>
      </c>
      <c r="H5" s="16">
        <f>IF(H$3&gt;=Assumptions!$B$39,(Scenarios!$C$5+Scenarios!$C$6)*MIN(1,(H$3-Assumptions!$B$39+1)/Assumptions!$C$39),0)</f>
        <v/>
      </c>
      <c r="I5" s="16">
        <f>IF(I$3&gt;=Assumptions!$B$39,(Scenarios!$C$5+Scenarios!$C$6)*MIN(1,(I$3-Assumptions!$B$39+1)/Assumptions!$C$39),0)</f>
        <v/>
      </c>
      <c r="J5" s="16">
        <f>IF(J$3&gt;=Assumptions!$B$39,(Scenarios!$C$5+Scenarios!$C$6)*MIN(1,(J$3-Assumptions!$B$39+1)/Assumptions!$C$39),0)</f>
        <v/>
      </c>
      <c r="K5" s="16">
        <f>IF(K$3&gt;=Assumptions!$B$39,(Scenarios!$C$5+Scenarios!$C$6)*MIN(1,(K$3-Assumptions!$B$39+1)/Assumptions!$C$39),0)</f>
        <v/>
      </c>
      <c r="L5" s="16">
        <f>IF(L$3&gt;=Assumptions!$B$39,(Scenarios!$C$5+Scenarios!$C$6)*MIN(1,(L$3-Assumptions!$B$39+1)/Assumptions!$C$39),0)</f>
        <v/>
      </c>
      <c r="M5" s="16">
        <f>IF(M$3&gt;=Assumptions!$B$39,(Scenarios!$C$5+Scenarios!$C$6)*MIN(1,(M$3-Assumptions!$B$39+1)/Assumptions!$C$39),0)</f>
        <v/>
      </c>
      <c r="N5" s="16">
        <f>IF(N$3&gt;=Assumptions!$B$39,(Scenarios!$C$5+Scenarios!$C$6)*MIN(1,(N$3-Assumptions!$B$39+1)/Assumptions!$C$39),0)</f>
        <v/>
      </c>
      <c r="O5" s="16">
        <f>IF(O$3&gt;=Assumptions!$B$39,(Scenarios!$C$5+Scenarios!$C$6)*MIN(1,(O$3-Assumptions!$B$39+1)/Assumptions!$C$39),0)</f>
        <v/>
      </c>
      <c r="P5" s="16">
        <f>IF(P$3&gt;=Assumptions!$B$39,(Scenarios!$C$5+Scenarios!$C$6)*MIN(1,(P$3-Assumptions!$B$39+1)/Assumptions!$C$39),0)</f>
        <v/>
      </c>
      <c r="Q5" s="16">
        <f>IF(Q$3&gt;=Assumptions!$B$39,(Scenarios!$C$5+Scenarios!$C$6)*MIN(1,(Q$3-Assumptions!$B$39+1)/Assumptions!$C$39),0)</f>
        <v/>
      </c>
      <c r="R5" s="16">
        <f>IF(R$3&gt;=Assumptions!$B$39,(Scenarios!$C$5+Scenarios!$C$6)*MIN(1,(R$3-Assumptions!$B$39+1)/Assumptions!$C$39),0)</f>
        <v/>
      </c>
      <c r="S5" s="16">
        <f>IF(S$3&gt;=Assumptions!$B$39,(Scenarios!$C$5+Scenarios!$C$6)*MIN(1,(S$3-Assumptions!$B$39+1)/Assumptions!$C$39),0)</f>
        <v/>
      </c>
    </row>
    <row r="6">
      <c r="A6" s="5" t="inlineStr">
        <is>
          <t>Marketplace take</t>
        </is>
      </c>
      <c r="B6" s="16">
        <f>IF(B$3&gt;=Assumptions!$B$40,Scenarios!$C$7*MIN(1,(B$3-Assumptions!$B$40+1)/Assumptions!$C$40),0)</f>
        <v/>
      </c>
      <c r="C6" s="16">
        <f>IF(C$3&gt;=Assumptions!$B$40,Scenarios!$C$7*MIN(1,(C$3-Assumptions!$B$40+1)/Assumptions!$C$40),0)</f>
        <v/>
      </c>
      <c r="D6" s="16">
        <f>IF(D$3&gt;=Assumptions!$B$40,Scenarios!$C$7*MIN(1,(D$3-Assumptions!$B$40+1)/Assumptions!$C$40),0)</f>
        <v/>
      </c>
      <c r="E6" s="16">
        <f>IF(E$3&gt;=Assumptions!$B$40,Scenarios!$C$7*MIN(1,(E$3-Assumptions!$B$40+1)/Assumptions!$C$40),0)</f>
        <v/>
      </c>
      <c r="F6" s="16">
        <f>IF(F$3&gt;=Assumptions!$B$40,Scenarios!$C$7*MIN(1,(F$3-Assumptions!$B$40+1)/Assumptions!$C$40),0)</f>
        <v/>
      </c>
      <c r="G6" s="16">
        <f>IF(G$3&gt;=Assumptions!$B$40,Scenarios!$C$7*MIN(1,(G$3-Assumptions!$B$40+1)/Assumptions!$C$40),0)</f>
        <v/>
      </c>
      <c r="H6" s="16">
        <f>IF(H$3&gt;=Assumptions!$B$40,Scenarios!$C$7*MIN(1,(H$3-Assumptions!$B$40+1)/Assumptions!$C$40),0)</f>
        <v/>
      </c>
      <c r="I6" s="16">
        <f>IF(I$3&gt;=Assumptions!$B$40,Scenarios!$C$7*MIN(1,(I$3-Assumptions!$B$40+1)/Assumptions!$C$40),0)</f>
        <v/>
      </c>
      <c r="J6" s="16">
        <f>IF(J$3&gt;=Assumptions!$B$40,Scenarios!$C$7*MIN(1,(J$3-Assumptions!$B$40+1)/Assumptions!$C$40),0)</f>
        <v/>
      </c>
      <c r="K6" s="16">
        <f>IF(K$3&gt;=Assumptions!$B$40,Scenarios!$C$7*MIN(1,(K$3-Assumptions!$B$40+1)/Assumptions!$C$40),0)</f>
        <v/>
      </c>
      <c r="L6" s="16">
        <f>IF(L$3&gt;=Assumptions!$B$40,Scenarios!$C$7*MIN(1,(L$3-Assumptions!$B$40+1)/Assumptions!$C$40),0)</f>
        <v/>
      </c>
      <c r="M6" s="16">
        <f>IF(M$3&gt;=Assumptions!$B$40,Scenarios!$C$7*MIN(1,(M$3-Assumptions!$B$40+1)/Assumptions!$C$40),0)</f>
        <v/>
      </c>
      <c r="N6" s="16">
        <f>IF(N$3&gt;=Assumptions!$B$40,Scenarios!$C$7*MIN(1,(N$3-Assumptions!$B$40+1)/Assumptions!$C$40),0)</f>
        <v/>
      </c>
      <c r="O6" s="16">
        <f>IF(O$3&gt;=Assumptions!$B$40,Scenarios!$C$7*MIN(1,(O$3-Assumptions!$B$40+1)/Assumptions!$C$40),0)</f>
        <v/>
      </c>
      <c r="P6" s="16">
        <f>IF(P$3&gt;=Assumptions!$B$40,Scenarios!$C$7*MIN(1,(P$3-Assumptions!$B$40+1)/Assumptions!$C$40),0)</f>
        <v/>
      </c>
      <c r="Q6" s="16">
        <f>IF(Q$3&gt;=Assumptions!$B$40,Scenarios!$C$7*MIN(1,(Q$3-Assumptions!$B$40+1)/Assumptions!$C$40),0)</f>
        <v/>
      </c>
      <c r="R6" s="16">
        <f>IF(R$3&gt;=Assumptions!$B$40,Scenarios!$C$7*MIN(1,(R$3-Assumptions!$B$40+1)/Assumptions!$C$40),0)</f>
        <v/>
      </c>
      <c r="S6" s="16">
        <f>IF(S$3&gt;=Assumptions!$B$40,Scenarios!$C$7*MIN(1,(S$3-Assumptions!$B$40+1)/Assumptions!$C$40),0)</f>
        <v/>
      </c>
    </row>
    <row r="7">
      <c r="A7" s="5" t="inlineStr">
        <is>
          <t>Listener Pro</t>
        </is>
      </c>
      <c r="B7" s="16">
        <f>IF(B$3&gt;=Assumptions!$B$41,Scenarios!$C$8*MIN(1,(B$3-Assumptions!$B$41+1)/Assumptions!$C$41),0)</f>
        <v/>
      </c>
      <c r="C7" s="16">
        <f>IF(C$3&gt;=Assumptions!$B$41,Scenarios!$C$8*MIN(1,(C$3-Assumptions!$B$41+1)/Assumptions!$C$41),0)</f>
        <v/>
      </c>
      <c r="D7" s="16">
        <f>IF(D$3&gt;=Assumptions!$B$41,Scenarios!$C$8*MIN(1,(D$3-Assumptions!$B$41+1)/Assumptions!$C$41),0)</f>
        <v/>
      </c>
      <c r="E7" s="16">
        <f>IF(E$3&gt;=Assumptions!$B$41,Scenarios!$C$8*MIN(1,(E$3-Assumptions!$B$41+1)/Assumptions!$C$41),0)</f>
        <v/>
      </c>
      <c r="F7" s="16">
        <f>IF(F$3&gt;=Assumptions!$B$41,Scenarios!$C$8*MIN(1,(F$3-Assumptions!$B$41+1)/Assumptions!$C$41),0)</f>
        <v/>
      </c>
      <c r="G7" s="16">
        <f>IF(G$3&gt;=Assumptions!$B$41,Scenarios!$C$8*MIN(1,(G$3-Assumptions!$B$41+1)/Assumptions!$C$41),0)</f>
        <v/>
      </c>
      <c r="H7" s="16">
        <f>IF(H$3&gt;=Assumptions!$B$41,Scenarios!$C$8*MIN(1,(H$3-Assumptions!$B$41+1)/Assumptions!$C$41),0)</f>
        <v/>
      </c>
      <c r="I7" s="16">
        <f>IF(I$3&gt;=Assumptions!$B$41,Scenarios!$C$8*MIN(1,(I$3-Assumptions!$B$41+1)/Assumptions!$C$41),0)</f>
        <v/>
      </c>
      <c r="J7" s="16">
        <f>IF(J$3&gt;=Assumptions!$B$41,Scenarios!$C$8*MIN(1,(J$3-Assumptions!$B$41+1)/Assumptions!$C$41),0)</f>
        <v/>
      </c>
      <c r="K7" s="16">
        <f>IF(K$3&gt;=Assumptions!$B$41,Scenarios!$C$8*MIN(1,(K$3-Assumptions!$B$41+1)/Assumptions!$C$41),0)</f>
        <v/>
      </c>
      <c r="L7" s="16">
        <f>IF(L$3&gt;=Assumptions!$B$41,Scenarios!$C$8*MIN(1,(L$3-Assumptions!$B$41+1)/Assumptions!$C$41),0)</f>
        <v/>
      </c>
      <c r="M7" s="16">
        <f>IF(M$3&gt;=Assumptions!$B$41,Scenarios!$C$8*MIN(1,(M$3-Assumptions!$B$41+1)/Assumptions!$C$41),0)</f>
        <v/>
      </c>
      <c r="N7" s="16">
        <f>IF(N$3&gt;=Assumptions!$B$41,Scenarios!$C$8*MIN(1,(N$3-Assumptions!$B$41+1)/Assumptions!$C$41),0)</f>
        <v/>
      </c>
      <c r="O7" s="16">
        <f>IF(O$3&gt;=Assumptions!$B$41,Scenarios!$C$8*MIN(1,(O$3-Assumptions!$B$41+1)/Assumptions!$C$41),0)</f>
        <v/>
      </c>
      <c r="P7" s="16">
        <f>IF(P$3&gt;=Assumptions!$B$41,Scenarios!$C$8*MIN(1,(P$3-Assumptions!$B$41+1)/Assumptions!$C$41),0)</f>
        <v/>
      </c>
      <c r="Q7" s="16">
        <f>IF(Q$3&gt;=Assumptions!$B$41,Scenarios!$C$8*MIN(1,(Q$3-Assumptions!$B$41+1)/Assumptions!$C$41),0)</f>
        <v/>
      </c>
      <c r="R7" s="16">
        <f>IF(R$3&gt;=Assumptions!$B$41,Scenarios!$C$8*MIN(1,(R$3-Assumptions!$B$41+1)/Assumptions!$C$41),0)</f>
        <v/>
      </c>
      <c r="S7" s="16">
        <f>IF(S$3&gt;=Assumptions!$B$41,Scenarios!$C$8*MIN(1,(S$3-Assumptions!$B$41+1)/Assumptions!$C$41),0)</f>
        <v/>
      </c>
    </row>
    <row r="8">
      <c r="A8" s="5" t="inlineStr">
        <is>
          <t>B2B &amp; agent licensing</t>
        </is>
      </c>
      <c r="B8" s="16">
        <f>IF(B$3&gt;=Assumptions!$B$42,Scenarios!$C$9*MIN(1,(B$3-Assumptions!$B$42+1)/Assumptions!$C$42),0)</f>
        <v/>
      </c>
      <c r="C8" s="16">
        <f>IF(C$3&gt;=Assumptions!$B$42,Scenarios!$C$9*MIN(1,(C$3-Assumptions!$B$42+1)/Assumptions!$C$42),0)</f>
        <v/>
      </c>
      <c r="D8" s="16">
        <f>IF(D$3&gt;=Assumptions!$B$42,Scenarios!$C$9*MIN(1,(D$3-Assumptions!$B$42+1)/Assumptions!$C$42),0)</f>
        <v/>
      </c>
      <c r="E8" s="16">
        <f>IF(E$3&gt;=Assumptions!$B$42,Scenarios!$C$9*MIN(1,(E$3-Assumptions!$B$42+1)/Assumptions!$C$42),0)</f>
        <v/>
      </c>
      <c r="F8" s="16">
        <f>IF(F$3&gt;=Assumptions!$B$42,Scenarios!$C$9*MIN(1,(F$3-Assumptions!$B$42+1)/Assumptions!$C$42),0)</f>
        <v/>
      </c>
      <c r="G8" s="16">
        <f>IF(G$3&gt;=Assumptions!$B$42,Scenarios!$C$9*MIN(1,(G$3-Assumptions!$B$42+1)/Assumptions!$C$42),0)</f>
        <v/>
      </c>
      <c r="H8" s="16">
        <f>IF(H$3&gt;=Assumptions!$B$42,Scenarios!$C$9*MIN(1,(H$3-Assumptions!$B$42+1)/Assumptions!$C$42),0)</f>
        <v/>
      </c>
      <c r="I8" s="16">
        <f>IF(I$3&gt;=Assumptions!$B$42,Scenarios!$C$9*MIN(1,(I$3-Assumptions!$B$42+1)/Assumptions!$C$42),0)</f>
        <v/>
      </c>
      <c r="J8" s="16">
        <f>IF(J$3&gt;=Assumptions!$B$42,Scenarios!$C$9*MIN(1,(J$3-Assumptions!$B$42+1)/Assumptions!$C$42),0)</f>
        <v/>
      </c>
      <c r="K8" s="16">
        <f>IF(K$3&gt;=Assumptions!$B$42,Scenarios!$C$9*MIN(1,(K$3-Assumptions!$B$42+1)/Assumptions!$C$42),0)</f>
        <v/>
      </c>
      <c r="L8" s="16">
        <f>IF(L$3&gt;=Assumptions!$B$42,Scenarios!$C$9*MIN(1,(L$3-Assumptions!$B$42+1)/Assumptions!$C$42),0)</f>
        <v/>
      </c>
      <c r="M8" s="16">
        <f>IF(M$3&gt;=Assumptions!$B$42,Scenarios!$C$9*MIN(1,(M$3-Assumptions!$B$42+1)/Assumptions!$C$42),0)</f>
        <v/>
      </c>
      <c r="N8" s="16">
        <f>IF(N$3&gt;=Assumptions!$B$42,Scenarios!$C$9*MIN(1,(N$3-Assumptions!$B$42+1)/Assumptions!$C$42),0)</f>
        <v/>
      </c>
      <c r="O8" s="16">
        <f>IF(O$3&gt;=Assumptions!$B$42,Scenarios!$C$9*MIN(1,(O$3-Assumptions!$B$42+1)/Assumptions!$C$42),0)</f>
        <v/>
      </c>
      <c r="P8" s="16">
        <f>IF(P$3&gt;=Assumptions!$B$42,Scenarios!$C$9*MIN(1,(P$3-Assumptions!$B$42+1)/Assumptions!$C$42),0)</f>
        <v/>
      </c>
      <c r="Q8" s="16">
        <f>IF(Q$3&gt;=Assumptions!$B$42,Scenarios!$C$9*MIN(1,(Q$3-Assumptions!$B$42+1)/Assumptions!$C$42),0)</f>
        <v/>
      </c>
      <c r="R8" s="16">
        <f>IF(R$3&gt;=Assumptions!$B$42,Scenarios!$C$9*MIN(1,(R$3-Assumptions!$B$42+1)/Assumptions!$C$42),0)</f>
        <v/>
      </c>
      <c r="S8" s="16">
        <f>IF(S$3&gt;=Assumptions!$B$42,Scenarios!$C$9*MIN(1,(S$3-Assumptions!$B$42+1)/Assumptions!$C$42),0)</f>
        <v/>
      </c>
    </row>
    <row r="9">
      <c r="A9" s="13" t="inlineStr">
        <is>
          <t>Total platform MRR</t>
        </is>
      </c>
      <c r="B9" s="15">
        <f>SUM(B4:B8)</f>
        <v/>
      </c>
      <c r="C9" s="15">
        <f>SUM(C4:C8)</f>
        <v/>
      </c>
      <c r="D9" s="15">
        <f>SUM(D4:D8)</f>
        <v/>
      </c>
      <c r="E9" s="15">
        <f>SUM(E4:E8)</f>
        <v/>
      </c>
      <c r="F9" s="15">
        <f>SUM(F4:F8)</f>
        <v/>
      </c>
      <c r="G9" s="15">
        <f>SUM(G4:G8)</f>
        <v/>
      </c>
      <c r="H9" s="15">
        <f>SUM(H4:H8)</f>
        <v/>
      </c>
      <c r="I9" s="15">
        <f>SUM(I4:I8)</f>
        <v/>
      </c>
      <c r="J9" s="15">
        <f>SUM(J4:J8)</f>
        <v/>
      </c>
      <c r="K9" s="15">
        <f>SUM(K4:K8)</f>
        <v/>
      </c>
      <c r="L9" s="15">
        <f>SUM(L4:L8)</f>
        <v/>
      </c>
      <c r="M9" s="15">
        <f>SUM(M4:M8)</f>
        <v/>
      </c>
      <c r="N9" s="15">
        <f>SUM(N4:N8)</f>
        <v/>
      </c>
      <c r="O9" s="15">
        <f>SUM(O4:O8)</f>
        <v/>
      </c>
      <c r="P9" s="15">
        <f>SUM(P4:P8)</f>
        <v/>
      </c>
      <c r="Q9" s="15">
        <f>SUM(Q4:Q8)</f>
        <v/>
      </c>
      <c r="R9" s="15">
        <f>SUM(R4:R8)</f>
        <v/>
      </c>
      <c r="S9" s="15">
        <f>SUM(S4:S8)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2026-07-04T16:21:07Z</dcterms:created>
  <dcterms:modified xsi:type="dcterms:W3CDTF">2026-07-04T16:21:07Z</dcterms:modified>
</cp:coreProperties>
</file>